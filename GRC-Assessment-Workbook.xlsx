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a6907017e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ology" sheetId="1" r:id="Rb736752fe3694603"/>
    <x:sheet xmlns:r="http://schemas.openxmlformats.org/officeDocument/2006/relationships" name="CSF Profiles" sheetId="2" r:id="R73909dd67483456a"/>
    <x:sheet xmlns:r="http://schemas.openxmlformats.org/officeDocument/2006/relationships" name="Evidence Matrix" sheetId="3" r:id="Rf16f07fc0fbe4d8b"/>
    <x:sheet xmlns:r="http://schemas.openxmlformats.org/officeDocument/2006/relationships" name="Risk Register" sheetId="4" r:id="Rf2470c7ddf914a31"/>
    <x:sheet xmlns:r="http://schemas.openxmlformats.org/officeDocument/2006/relationships" name="Gap Tracker" sheetId="5" r:id="R31afbc86a906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304B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34eaf1cacf4673" /><Relationship Type="http://schemas.openxmlformats.org/officeDocument/2006/relationships/theme" Target="/xl/theme/theme1.xml" Id="R65ae9ba228b34dc7" /><Relationship Type="http://schemas.openxmlformats.org/officeDocument/2006/relationships/sharedStrings" Target="/xl/sharedStrings.xml" Id="R9cda3589b4d4441e" /><Relationship Type="http://schemas.openxmlformats.org/officeDocument/2006/relationships/worksheet" Target="/xl/worksheets/sheet1.xml" Id="Rb736752fe3694603" /><Relationship Type="http://schemas.openxmlformats.org/officeDocument/2006/relationships/worksheet" Target="/xl/worksheets/sheet2.xml" Id="R73909dd67483456a" /><Relationship Type="http://schemas.openxmlformats.org/officeDocument/2006/relationships/worksheet" Target="/xl/worksheets/sheet3.xml" Id="Rf16f07fc0fbe4d8b" /><Relationship Type="http://schemas.openxmlformats.org/officeDocument/2006/relationships/worksheet" Target="/xl/worksheets/sheet4.xml" Id="Rf2470c7ddf914a31" /><Relationship Type="http://schemas.openxmlformats.org/officeDocument/2006/relationships/worksheet" Target="/xl/worksheets/sheet5.xml" Id="R31afbc86a90645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5" hidden="0" customWidth="1"/>
  </x:cols>
  <x:sheetData>
    <x:row r="1" ht="34" customHeight="1">
      <x:c r="A1" s="4" t="str">
        <x:v>Category</x:v>
      </x:c>
      <x:c r="B1" s="4" t="str">
        <x:v>Definition</x:v>
      </x:c>
    </x:row>
    <x:row r="2" ht="35" customHeight="1">
      <x:c r="A2" s="8" t="str">
        <x:v>Scope</x:v>
      </x:c>
      <x:c r="B2" s="8" t="str">
        <x:v>Internal MSP shared security operations; not 75 client audits</x:v>
      </x:c>
    </x:row>
    <x:row r="3" ht="35" customHeight="1">
      <x:c r="A3" s="8" t="str">
        <x:v>Ratings</x:v>
      </x:c>
      <x:c r="B3" s="8" t="str">
        <x:v>Achieved / Partially achieved / Not achieved / Not verified</x:v>
      </x:c>
    </x:row>
    <x:row r="4" ht="35" customHeight="1">
      <x:c r="A4" s="8" t="str">
        <x:v>Likelihood</x:v>
      </x:c>
      <x:c r="B4" s="8" t="str">
        <x:v>1–5 illustrative</x:v>
      </x:c>
    </x:row>
    <x:row r="5" ht="35" customHeight="1">
      <x:c r="A5" s="8" t="str">
        <x:v>Impact</x:v>
      </x:c>
      <x:c r="B5" s="8" t="str">
        <x:v>1–5 illustrative</x:v>
      </x:c>
    </x:row>
    <x:row r="6" ht="35" customHeight="1">
      <x:c r="A6" s="8" t="str">
        <x:v>Risk bands</x:v>
      </x:c>
      <x:c r="B6" s="8" t="str">
        <x:v>1–4 Low; 5–9 Moderate; 10–19 High; 20–25 Critical</x:v>
      </x:c>
    </x:row>
    <x:row r="7" ht="35" customHeight="1">
      <x:c r="A7" s="8" t="str">
        <x:v>Evidence</x:v>
      </x:c>
      <x:c r="B7" s="8" t="str">
        <x:v>Simulated; conclusions qualified by sufficiency and period</x:v>
      </x:c>
    </x:row>
    <x:row r="8" ht="35" customHeight="1">
      <x:c r="A8" s="8" t="str">
        <x:v>Disclaimer</x:v>
      </x:c>
      <x:c r="B8" s="8" t="str">
        <x:v>Educational simulation; no NIST certification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45" hidden="0" customWidth="1"/>
    <x:col min="5" max="5" width="45" hidden="0" customWidth="1"/>
    <x:col min="6" max="6" width="45" hidden="0" customWidth="1"/>
    <x:col min="7" max="7" width="23" hidden="0" customWidth="1"/>
  </x:cols>
  <x:sheetData>
    <x:row r="1" ht="34" customHeight="1">
      <x:c r="A1" s="4" t="str">
        <x:v>Outcome</x:v>
      </x:c>
      <x:c r="B1" s="4" t="str">
        <x:v>Function</x:v>
      </x:c>
      <x:c r="C1" s="4" t="str">
        <x:v>Current rating</x:v>
      </x:c>
      <x:c r="D1" s="4" t="str">
        <x:v>Current condition</x:v>
      </x:c>
      <x:c r="E1" s="4" t="str">
        <x:v>Target outcome</x:v>
      </x:c>
      <x:c r="F1" s="4" t="str">
        <x:v>Validation evidence</x:v>
      </x:c>
      <x:c r="G1" s="4" t="str">
        <x:v>Priority</x:v>
      </x:c>
    </x:row>
    <x:row r="2" ht="68" customHeight="1">
      <x:c r="A2" s="8" t="str">
        <x:v>GV.RR-02</x:v>
      </x:c>
      <x:c r="B2" s="8" t="str">
        <x:v>Govern</x:v>
      </x:c>
      <x:c r="C2" s="8" t="str">
        <x:v>Partially achieved</x:v>
      </x:c>
      <x:c r="D2" s="8" t="str">
        <x:v>Security responsibilities exist informally; approved accountability and communication evidence incomplete.</x:v>
      </x:c>
      <x:c r="E2" s="8" t="str">
        <x:v>Document and communicate security responsibilities, authorities and review ownership.</x:v>
      </x:c>
      <x:c r="F2" s="8" t="str">
        <x:v>Role matrix, approved policy, staff acknowledgments</x:v>
      </x:c>
      <x:c r="G2" s="8" t="str">
        <x:v>Moderate</x:v>
      </x:c>
    </x:row>
    <x:row r="3" ht="68" customHeight="1">
      <x:c r="A3" s="8" t="str">
        <x:v>ID.AM-01</x:v>
      </x:c>
      <x:c r="B3" s="8" t="str">
        <x:v>Identify</x:v>
      </x:c>
      <x:c r="C3" s="8" t="str">
        <x:v>Partially achieved</x:v>
      </x:c>
      <x:c r="D3" s="8" t="str">
        <x:v>ConnectWise 420 and Defender 455; 18 unowned records; 12 stale; 8 retired/active discrepancies; no reconciliation SOP.</x:v>
      </x:c>
      <x:c r="E3" s="8" t="str">
        <x:v>Maintain reconciled in-scope inventory, assign owners or track exceptions, and perform documented monthly reconciliation.</x:v>
      </x:c>
      <x:c r="F3" s="8" t="str">
        <x:v>Scope-aligned inventories, reconciliations, owner assignments, exception log</x:v>
      </x:c>
      <x:c r="G3" s="8" t="str">
        <x:v>High</x:v>
      </x:c>
    </x:row>
    <x:row r="4" ht="68" customHeight="1">
      <x:c r="A4" s="8" t="str">
        <x:v>PR.AA-05</x:v>
      </x:c>
      <x:c r="B4" s="8" t="str">
        <x:v>Protect</x:v>
      </x:c>
      <x:c r="C4" s="8" t="str">
        <x:v>Partially achieved</x:v>
      </x:c>
      <x:c r="D4" s="8" t="str">
        <x:v>Two problematic privileged accounts contained; initial review signed; recurring reviews not yet proven.</x:v>
      </x:c>
      <x:c r="E4" s="8" t="str">
        <x:v>Approved recurring privileged access reviews with retained evidence and tested alerting.</x:v>
      </x:c>
      <x:c r="F4" s="8" t="str">
        <x:v>Access review signoffs, exceptions, MFA configuration, alert tests</x:v>
      </x:c>
      <x:c r="G4" s="8" t="str">
        <x:v>High</x:v>
      </x:c>
    </x:row>
    <x:row r="5" ht="68" customHeight="1">
      <x:c r="A5" s="8" t="str">
        <x:v>DE.CM-01</x:v>
      </x:c>
      <x:c r="B5" s="8" t="str">
        <x:v>Detect</x:v>
      </x:c>
      <x:c r="C5" s="8" t="str">
        <x:v>Partially achieved</x:v>
      </x:c>
      <x:c r="D5" s="8" t="str">
        <x:v>Monitoring exists but network coverage and alert effectiveness not sufficiently validated.</x:v>
      </x:c>
      <x:c r="E5" s="8" t="str">
        <x:v>Document risk-based network monitoring coverage and verify alert detection through testing.</x:v>
      </x:c>
      <x:c r="F5" s="8" t="str">
        <x:v>Coverage map, alert rules, test results, follow-up tickets</x:v>
      </x:c>
      <x:c r="G5" s="8" t="str">
        <x:v>Moderate</x:v>
      </x:c>
    </x:row>
    <x:row r="6" ht="68" customHeight="1">
      <x:c r="A6" s="8" t="str">
        <x:v>RS.MA-01</x:v>
      </x:c>
      <x:c r="B6" s="8" t="str">
        <x:v>Respond</x:v>
      </x:c>
      <x:c r="C6" s="8" t="str">
        <x:v>Partially achieved</x:v>
      </x:c>
      <x:c r="D6" s="8" t="str">
        <x:v>Incident plan exists; exercise and execution evidence not provided.</x:v>
      </x:c>
      <x:c r="E6" s="8" t="str">
        <x:v>Exercise incident response management, document decisions and corrective actions.</x:v>
      </x:c>
      <x:c r="F6" s="8" t="str">
        <x:v>Approved plan, tabletop report, lessons learned</x:v>
      </x:c>
      <x:c r="G6" s="8" t="str">
        <x:v>High</x:v>
      </x:c>
    </x:row>
    <x:row r="7" ht="68" customHeight="1">
      <x:c r="A7" s="8" t="str">
        <x:v>RC.RP-02</x:v>
      </x:c>
      <x:c r="B7" s="8" t="str">
        <x:v>Recover</x:v>
      </x:c>
      <x:c r="C7" s="8" t="str">
        <x:v>Not verified</x:v>
      </x:c>
      <x:c r="D7" s="8" t="str">
        <x:v>Backup jobs exist; recovery execution and restore test results not evidenced.</x:v>
      </x:c>
      <x:c r="E7" s="8" t="str">
        <x:v>Execute and validate recovery activities against approved recovery objectives.</x:v>
      </x:c>
      <x:c r="F7" s="8" t="str">
        <x:v>Restore test report, integrity checks, RTO/RPO comparison</x:v>
      </x:c>
      <x:c r="G7" s="8" t="str">
        <x:v>Critical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45" hidden="0" customWidth="1"/>
    <x:col min="4" max="4" width="23" hidden="0" customWidth="1"/>
    <x:col min="5" max="5" width="23" hidden="0" customWidth="1"/>
  </x:cols>
  <x:sheetData>
    <x:row r="1" ht="34" customHeight="1">
      <x:c r="A1" s="4" t="str">
        <x:v>Evidence ID</x:v>
      </x:c>
      <x:c r="B1" s="4" t="str">
        <x:v>Domain</x:v>
      </x:c>
      <x:c r="C1" s="4" t="str">
        <x:v>Summary</x:v>
      </x:c>
      <x:c r="D1" s="4" t="str">
        <x:v>Review status</x:v>
      </x:c>
      <x:c r="E1" s="4" t="str">
        <x:v>Limitation</x:v>
      </x:c>
    </x:row>
    <x:row r="2" ht="68" customHeight="1">
      <x:c r="A2" s="8" t="str">
        <x:v>IAM-001</x:v>
      </x:c>
      <x:c r="B2" s="8" t="str">
        <x:v>Privileged access</x:v>
      </x:c>
      <x:c r="C2" s="8" t="str">
        <x:v>Approved policy 18 months old; 24 privileged accounts; MFA on 22; no documented review in 12 months; two unowned</x:v>
      </x:c>
      <x:c r="D2" s="8" t="str">
        <x:v>Reviewed</x:v>
      </x:c>
      <x:c r="E2" s="8" t="str">
        <x:v>Initial finding</x:v>
      </x:c>
    </x:row>
    <x:row r="3" ht="68" customHeight="1">
      <x:c r="A3" s="8" t="str">
        <x:v>IAM-002</x:v>
      </x:c>
      <x:c r="B3" s="8" t="str">
        <x:v>Privileged access</x:v>
      </x:c>
      <x:c r="C3" s="8" t="str">
        <x:v>ADMIN-023 interactive legacy service account; ADMIN-024 former contractor account; privileged RMM access; MFA absent; alerting absent</x:v>
      </x:c>
      <x:c r="D3" s="8" t="str">
        <x:v>Reviewed</x:v>
      </x:c>
      <x:c r="E3" s="8" t="str">
        <x:v>No breach established</x:v>
      </x:c>
    </x:row>
    <x:row r="4" ht="68" customHeight="1">
      <x:c r="A4" s="8" t="str">
        <x:v>IAM-003</x:v>
      </x:c>
      <x:c r="B4" s="8" t="str">
        <x:v>Privileged access</x:v>
      </x:c>
      <x:c r="C4" s="8" t="str">
        <x:v>ADMIN-023 interactive access disabled; ADMIN-024 disabled/sessions revoked; MFA on remaining interactive privileged accounts; first review signed</x:v>
      </x:c>
      <x:c r="D4" s="8" t="str">
        <x:v>Reviewed</x:v>
      </x:c>
      <x:c r="E4" s="8" t="str">
        <x:v>Ongoing control validation open</x:v>
      </x:c>
    </x:row>
    <x:row r="5" ht="68" customHeight="1">
      <x:c r="A5" s="8" t="str">
        <x:v>AST-001</x:v>
      </x:c>
      <x:c r="B5" s="8" t="str">
        <x:v>Asset inventory</x:v>
      </x:c>
      <x:c r="C5" s="8" t="str">
        <x:v>ConnectWise 420 devices; Defender 455 devices</x:v>
      </x:c>
      <x:c r="D5" s="8" t="str">
        <x:v>Reviewed</x:v>
      </x:c>
      <x:c r="E5" s="8" t="str">
        <x:v>Different populations possible</x:v>
      </x:c>
    </x:row>
    <x:row r="6" ht="68" customHeight="1">
      <x:c r="A6" s="8" t="str">
        <x:v>AST-002</x:v>
      </x:c>
      <x:c r="B6" s="8" t="str">
        <x:v>Asset ownership</x:v>
      </x:c>
      <x:c r="C6" s="8" t="str">
        <x:v>18 records without documented owner</x:v>
      </x:c>
      <x:c r="D6" s="8" t="str">
        <x:v>Reviewed</x:v>
      </x:c>
      <x:c r="E6" s="8" t="str">
        <x:v>Overlap with other exceptions unknown</x:v>
      </x:c>
    </x:row>
    <x:row r="7" ht="68" customHeight="1">
      <x:c r="A7" s="8" t="str">
        <x:v>AST-003</x:v>
      </x:c>
      <x:c r="B7" s="8" t="str">
        <x:v>Asset lifecycle</x:v>
      </x:c>
      <x:c r="C7" s="8" t="str">
        <x:v>12 stale &gt;90 days; 8 retired in ConnectWise but active in Defender</x:v>
      </x:c>
      <x:c r="D7" s="8" t="str">
        <x:v>Reviewed</x:v>
      </x:c>
      <x:c r="E7" s="8" t="str">
        <x:v>Reconciliation SOP absent</x:v>
      </x:c>
    </x:row>
    <x:row r="8" ht="68" customHeight="1">
      <x:c r="A8" s="8" t="str">
        <x:v>IR-001</x:v>
      </x:c>
      <x:c r="B8" s="8" t="str">
        <x:v>Incident response</x:v>
      </x:c>
      <x:c r="C8" s="8" t="str">
        <x:v>Incident response plan exists; exercise evidence unavailable</x:v>
      </x:c>
      <x:c r="D8" s="8" t="str">
        <x:v>Partial</x:v>
      </x:c>
      <x:c r="E8" s="8" t="str">
        <x:v>Exercise not demonstrated</x:v>
      </x:c>
    </x:row>
    <x:row r="9" ht="68" customHeight="1">
      <x:c r="A9" s="8" t="str">
        <x:v>BKP-001</x:v>
      </x:c>
      <x:c r="B9" s="8" t="str">
        <x:v>Recovery</x:v>
      </x:c>
      <x:c r="C9" s="8" t="str">
        <x:v>Automated backup jobs reported; restore test results unavailable</x:v>
      </x:c>
      <x:c r="D9" s="8" t="str">
        <x:v>Partial</x:v>
      </x:c>
      <x:c r="E9" s="8" t="str">
        <x:v>Recovery not verified</x:v>
      </x:c>
    </x:row>
    <x:row r="10" ht="68" customHeight="1">
      <x:c r="A10" s="8" t="str">
        <x:v>MON-001</x:v>
      </x:c>
      <x:c r="B10" s="8" t="str">
        <x:v>Monitoring</x:v>
      </x:c>
      <x:c r="C10" s="8" t="str">
        <x:v>SIEM operational; coverage and alert tests incomplete</x:v>
      </x:c>
      <x:c r="D10" s="8" t="str">
        <x:v>Partial</x:v>
      </x:c>
      <x:c r="E10" s="8" t="str">
        <x:v>Technical validation pending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45" hidden="0" customWidth="1"/>
    <x:col min="5" max="5" width="45" hidden="0" customWidth="1"/>
    <x:col min="6" max="6" width="45" hidden="0" customWidth="1"/>
    <x:col min="7" max="7" width="45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45" hidden="0" customWidth="1"/>
    <x:col min="14" max="14" width="45" hidden="0" customWidth="1"/>
  </x:cols>
  <x:sheetData>
    <x:row r="1" ht="34" customHeight="1">
      <x:c r="A1" s="4" t="str">
        <x:v>Risk ID</x:v>
      </x:c>
      <x:c r="B1" s="4" t="str">
        <x:v>Risk</x:v>
      </x:c>
      <x:c r="C1" s="4" t="str">
        <x:v>Statement</x:v>
      </x:c>
      <x:c r="D1" s="4" t="str">
        <x:v>Likelihood</x:v>
      </x:c>
      <x:c r="E1" s="4" t="str">
        <x:v>Impact</x:v>
      </x:c>
      <x:c r="F1" s="4" t="str">
        <x:v>Score</x:v>
      </x:c>
      <x:c r="G1" s="4" t="str">
        <x:v>Rating</x:v>
      </x:c>
      <x:c r="H1" s="4" t="str">
        <x:v>Post L</x:v>
      </x:c>
      <x:c r="I1" s="4" t="str">
        <x:v>Post I</x:v>
      </x:c>
      <x:c r="J1" s="4" t="str">
        <x:v>Post score</x:v>
      </x:c>
      <x:c r="K1" s="4" t="str">
        <x:v>Post rating</x:v>
      </x:c>
      <x:c r="L1" s="4" t="str">
        <x:v>Owner</x:v>
      </x:c>
      <x:c r="M1" s="4" t="str">
        <x:v>Treatment</x:v>
      </x:c>
      <x:c r="N1" s="4" t="str">
        <x:v>Caveat</x:v>
      </x:c>
    </x:row>
    <x:row r="2" ht="68" customHeight="1">
      <x:c r="A2" s="8" t="str">
        <x:v>RISK-001</x:v>
      </x:c>
      <x:c r="B2" s="8" t="str">
        <x:v>Privileged access governance</x:v>
      </x:c>
      <x:c r="C2" s="8" t="str">
        <x:v>Improperly controlled privileged RMM access could enable unauthorized access affecting MSP services.</x:v>
      </x:c>
      <x:c r="D2" s="8" t="n">
        <x:v>4</x:v>
      </x:c>
      <x:c r="E2" s="8" t="n">
        <x:v>5</x:v>
      </x:c>
      <x:c r="F2" s="8" t="n">
        <x:f>D2*E2</x:f>
        <x:v>20</x:v>
      </x:c>
      <x:c r="G2" s="8" t="str">
        <x:v>Critical</x:v>
      </x:c>
      <x:c r="H2" s="8" t="n">
        <x:v>2</x:v>
      </x:c>
      <x:c r="I2" s="8" t="n">
        <x:v>5</x:v>
      </x:c>
      <x:c r="J2" s="8" t="n">
        <x:f>H2*I2</x:f>
        <x:v>10</x:v>
      </x:c>
      <x:c r="K2" s="8" t="str">
        <x:v>High</x:v>
      </x:c>
      <x:c r="L2" s="8" t="str">
        <x:v>IT Director</x:v>
      </x:c>
      <x:c r="M2" s="8" t="str">
        <x:v>Mitigate; acceptance request RA-2026-001 pending</x:v>
      </x:c>
      <x:c r="N2" s="8" t="str">
        <x:v>Ongoing review and alert effectiveness unverified</x:v>
      </x:c>
    </x:row>
    <x:row r="3" ht="68" customHeight="1">
      <x:c r="A3" s="8" t="str">
        <x:v>RISK-002</x:v>
      </x:c>
      <x:c r="B3" s="8" t="str">
        <x:v>Asset inventory visibility</x:v>
      </x:c>
      <x:c r="C3" s="8" t="str">
        <x:v>Unreconciled asset records and ownership gaps may cause unmanaged systems to evade monitoring or patching.</x:v>
      </x:c>
      <x:c r="D3" s="8" t="n">
        <x:v>3</x:v>
      </x:c>
      <x:c r="E3" s="8" t="n">
        <x:v>4</x:v>
      </x:c>
      <x:c r="F3" s="8" t="n">
        <x:f>D3*E3</x:f>
        <x:v>12</x:v>
      </x:c>
      <x:c r="G3" s="8" t="str">
        <x:v>High</x:v>
      </x:c>
      <x:c r="H3" s="8"/>
      <x:c r="I3" s="8"/>
      <x:c r="J3" s="8"/>
      <x:c r="K3" s="8" t="str">
        <x:v>Not reassessed</x:v>
      </x:c>
      <x:c r="L3" s="8" t="str">
        <x:v>IT Director</x:v>
      </x:c>
      <x:c r="M3" s="8" t="str">
        <x:v>Mitigate</x:v>
      </x:c>
      <x:c r="N3" s="8" t="str">
        <x:v>Risk owner validation pending</x:v>
      </x:c>
    </x:row>
    <x:row r="4" ht="68" customHeight="1">
      <x:c r="A4" s="8" t="str">
        <x:v>RISK-003</x:v>
      </x:c>
      <x:c r="B4" s="8" t="str">
        <x:v>Recovery assurance</x:v>
      </x:c>
      <x:c r="C4" s="8" t="str">
        <x:v>Lack of evidenced restore testing may delay recovery of critical services.</x:v>
      </x:c>
      <x:c r="D4" s="8" t="n">
        <x:v>4</x:v>
      </x:c>
      <x:c r="E4" s="8" t="n">
        <x:v>5</x:v>
      </x:c>
      <x:c r="F4" s="8" t="n">
        <x:f>D4*E4</x:f>
        <x:v>20</x:v>
      </x:c>
      <x:c r="G4" s="8" t="str">
        <x:v>Critical</x:v>
      </x:c>
      <x:c r="H4" s="8"/>
      <x:c r="I4" s="8"/>
      <x:c r="J4" s="8"/>
      <x:c r="K4" s="8" t="str">
        <x:v>Not reassessed</x:v>
      </x:c>
      <x:c r="L4" s="8" t="str">
        <x:v>Infrastructure Manager</x:v>
      </x:c>
      <x:c r="M4" s="8" t="str">
        <x:v>Test restore capability</x:v>
      </x:c>
      <x:c r="N4" s="8" t="str">
        <x:v>Provisional score; BIA and evidence pending</x:v>
      </x:c>
    </x:row>
    <x:row r="5" ht="68" customHeight="1">
      <x:c r="A5" s="8" t="str">
        <x:v>RISK-004</x:v>
      </x:c>
      <x:c r="B5" s="8" t="str">
        <x:v>Incident response readiness</x:v>
      </x:c>
      <x:c r="C5" s="8" t="str">
        <x:v>Unexercised incident procedures may delay containment and coordination.</x:v>
      </x:c>
      <x:c r="D5" s="8" t="n">
        <x:v>3</x:v>
      </x:c>
      <x:c r="E5" s="8" t="n">
        <x:v>4</x:v>
      </x:c>
      <x:c r="F5" s="8" t="n">
        <x:f>D5*E5</x:f>
        <x:v>12</x:v>
      </x:c>
      <x:c r="G5" s="8" t="str">
        <x:v>High</x:v>
      </x:c>
      <x:c r="H5" s="8"/>
      <x:c r="I5" s="8"/>
      <x:c r="J5" s="8"/>
      <x:c r="K5" s="8" t="str">
        <x:v>Not reassessed</x:v>
      </x:c>
      <x:c r="L5" s="8" t="str">
        <x:v>Security Manager</x:v>
      </x:c>
      <x:c r="M5" s="8" t="str">
        <x:v>Conduct tabletop</x:v>
      </x:c>
      <x:c r="N5" s="8" t="str">
        <x:v>Provisional score</x:v>
      </x:c>
    </x:row>
    <x:row r="6" ht="68" customHeight="1">
      <x:c r="A6" s="8" t="str">
        <x:v>RISK-005</x:v>
      </x:c>
      <x:c r="B6" s="8" t="str">
        <x:v>Monitoring validation</x:v>
      </x:c>
      <x:c r="C6" s="8" t="str">
        <x:v>Unverified monitoring coverage may delay threat detection.</x:v>
      </x:c>
      <x:c r="D6" s="8" t="n">
        <x:v>3</x:v>
      </x:c>
      <x:c r="E6" s="8" t="n">
        <x:v>3</x:v>
      </x:c>
      <x:c r="F6" s="8" t="n">
        <x:f>D6*E6</x:f>
        <x:v>9</x:v>
      </x:c>
      <x:c r="G6" s="8" t="str">
        <x:v>Moderate</x:v>
      </x:c>
      <x:c r="H6" s="8"/>
      <x:c r="I6" s="8"/>
      <x:c r="J6" s="8"/>
      <x:c r="K6" s="8" t="str">
        <x:v>Not reassessed</x:v>
      </x:c>
      <x:c r="L6" s="8" t="str">
        <x:v>Security Manager</x:v>
      </x:c>
      <x:c r="M6" s="8" t="str">
        <x:v>Validate alert coverage</x:v>
      </x:c>
      <x:c r="N6" s="8" t="str">
        <x:v>Provisional score</x:v>
      </x:c>
    </x:row>
    <x:row r="7" ht="68" customHeight="1">
      <x:c r="A7" s="8" t="str">
        <x:v>RISK-006</x:v>
      </x:c>
      <x:c r="B7" s="8" t="str">
        <x:v>Governance documentation</x:v>
      </x:c>
      <x:c r="C7" s="8" t="str">
        <x:v>Unclear formal responsibilities may delay accountability and risk decisions.</x:v>
      </x:c>
      <x:c r="D7" s="8" t="n">
        <x:v>2</x:v>
      </x:c>
      <x:c r="E7" s="8" t="n">
        <x:v>3</x:v>
      </x:c>
      <x:c r="F7" s="8" t="n">
        <x:f>D7*E7</x:f>
        <x:v>6</x:v>
      </x:c>
      <x:c r="G7" s="8" t="str">
        <x:v>Moderate</x:v>
      </x:c>
      <x:c r="H7" s="8"/>
      <x:c r="I7" s="8"/>
      <x:c r="J7" s="8"/>
      <x:c r="K7" s="8" t="str">
        <x:v>Not reassessed</x:v>
      </x:c>
      <x:c r="L7" s="8" t="str">
        <x:v>CEO / IT Director</x:v>
      </x:c>
      <x:c r="M7" s="8" t="str">
        <x:v>Document governance</x:v>
      </x:c>
      <x:c r="N7" s="8" t="str">
        <x:v>Provisional score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45" hidden="0" customWidth="1"/>
    <x:col min="7" max="7" width="23" hidden="0" customWidth="1"/>
    <x:col min="8" max="8" width="23" hidden="0" customWidth="1"/>
  </x:cols>
  <x:sheetData>
    <x:row r="1" ht="34" customHeight="1">
      <x:c r="A1" s="4" t="str">
        <x:v>Gap ID</x:v>
      </x:c>
      <x:c r="B1" s="4" t="str">
        <x:v>Outcome</x:v>
      </x:c>
      <x:c r="C1" s="4" t="str">
        <x:v>Gap</x:v>
      </x:c>
      <x:c r="D1" s="4" t="str">
        <x:v>Priority</x:v>
      </x:c>
      <x:c r="E1" s="4" t="str">
        <x:v>Owner</x:v>
      </x:c>
      <x:c r="F1" s="4" t="str">
        <x:v>Action</x:v>
      </x:c>
      <x:c r="G1" s="4" t="str">
        <x:v>Status</x:v>
      </x:c>
      <x:c r="H1" s="4" t="str">
        <x:v>Evidence</x:v>
      </x:c>
    </x:row>
    <x:row r="2" ht="68" customHeight="1">
      <x:c r="A2" s="8" t="str">
        <x:v>GAP-001</x:v>
      </x:c>
      <x:c r="B2" s="8" t="str">
        <x:v>PR.AA-05</x:v>
      </x:c>
      <x:c r="C2" s="8" t="str">
        <x:v>Privileged access governance</x:v>
      </x:c>
      <x:c r="D2" s="8" t="str">
        <x:v>Critical initially</x:v>
      </x:c>
      <x:c r="E2" s="8" t="str">
        <x:v>IT Director</x:v>
      </x:c>
      <x:c r="F2" s="8" t="str">
        <x:v>Validate alerts; approve SOP; execute recurring reviews</x:v>
      </x:c>
      <x:c r="G2" s="8" t="str">
        <x:v>Open</x:v>
      </x:c>
      <x:c r="H2" s="8" t="str">
        <x:v>IAM-001; IAM-002; IAM-003</x:v>
      </x:c>
    </x:row>
    <x:row r="3" ht="68" customHeight="1">
      <x:c r="A3" s="8" t="str">
        <x:v>GAP-002</x:v>
      </x:c>
      <x:c r="B3" s="8" t="str">
        <x:v>ID.AM-01</x:v>
      </x:c>
      <x:c r="C3" s="8" t="str">
        <x:v>Inventory reconciliation</x:v>
      </x:c>
      <x:c r="D3" s="8" t="str">
        <x:v>High</x:v>
      </x:c>
      <x:c r="E3" s="8" t="str">
        <x:v>IT Operations Manager</x:v>
      </x:c>
      <x:c r="F3" s="8" t="str">
        <x:v>Reconcile source populations; resolve owner and lifecycle exceptions</x:v>
      </x:c>
      <x:c r="G3" s="8" t="str">
        <x:v>Open</x:v>
      </x:c>
      <x:c r="H3" s="8" t="str">
        <x:v>AST-001; AST-002; AST-003</x:v>
      </x:c>
    </x:row>
    <x:row r="4" ht="68" customHeight="1">
      <x:c r="A4" s="8" t="str">
        <x:v>GAP-003</x:v>
      </x:c>
      <x:c r="B4" s="8" t="str">
        <x:v>RC.RP-02</x:v>
      </x:c>
      <x:c r="C4" s="8" t="str">
        <x:v>Recovery test evidence</x:v>
      </x:c>
      <x:c r="D4" s="8" t="str">
        <x:v>Critical provisional</x:v>
      </x:c>
      <x:c r="E4" s="8" t="str">
        <x:v>Infrastructure Manager</x:v>
      </x:c>
      <x:c r="F4" s="8" t="str">
        <x:v>Run authorized restore test; compare to approved recovery objectives</x:v>
      </x:c>
      <x:c r="G4" s="8" t="str">
        <x:v>Open</x:v>
      </x:c>
      <x:c r="H4" s="8" t="str">
        <x:v>BKP-001</x:v>
      </x:c>
    </x:row>
    <x:row r="5" ht="68" customHeight="1">
      <x:c r="A5" s="8" t="str">
        <x:v>GAP-004</x:v>
      </x:c>
      <x:c r="B5" s="8" t="str">
        <x:v>RS.MA-01</x:v>
      </x:c>
      <x:c r="C5" s="8" t="str">
        <x:v>Incident response exercise</x:v>
      </x:c>
      <x:c r="D5" s="8" t="str">
        <x:v>High provisional</x:v>
      </x:c>
      <x:c r="E5" s="8" t="str">
        <x:v>Security Manager</x:v>
      </x:c>
      <x:c r="F5" s="8" t="str">
        <x:v>Conduct tabletop and track corrective actions</x:v>
      </x:c>
      <x:c r="G5" s="8" t="str">
        <x:v>Open</x:v>
      </x:c>
      <x:c r="H5" s="8" t="str">
        <x:v>IR-001</x:v>
      </x:c>
    </x:row>
    <x:row r="6" ht="68" customHeight="1">
      <x:c r="A6" s="8" t="str">
        <x:v>GAP-005</x:v>
      </x:c>
      <x:c r="B6" s="8" t="str">
        <x:v>DE.CM-01</x:v>
      </x:c>
      <x:c r="C6" s="8" t="str">
        <x:v>Network monitoring validation</x:v>
      </x:c>
      <x:c r="D6" s="8" t="str">
        <x:v>Moderate provisional</x:v>
      </x:c>
      <x:c r="E6" s="8" t="str">
        <x:v>Security Manager</x:v>
      </x:c>
      <x:c r="F6" s="8" t="str">
        <x:v>Document coverage and test representative alerts</x:v>
      </x:c>
      <x:c r="G6" s="8" t="str">
        <x:v>Open</x:v>
      </x:c>
      <x:c r="H6" s="8" t="str">
        <x:v>MON-001</x:v>
      </x:c>
    </x:row>
    <x:row r="7" ht="68" customHeight="1">
      <x:c r="A7" s="8" t="str">
        <x:v>GAP-006</x:v>
      </x:c>
      <x:c r="B7" s="8" t="str">
        <x:v>GV.RR-02</x:v>
      </x:c>
      <x:c r="C7" s="8" t="str">
        <x:v>Formal security responsibilities</x:v>
      </x:c>
      <x:c r="D7" s="8" t="str">
        <x:v>Moderate provisional</x:v>
      </x:c>
      <x:c r="E7" s="8" t="str">
        <x:v>CEO / IT Director</x:v>
      </x:c>
      <x:c r="F7" s="8" t="str">
        <x:v>Approve and communicate RACI and accountability</x:v>
      </x:c>
      <x:c r="G7" s="8" t="str">
        <x:v>Open</x:v>
      </x:c>
      <x:c r="H7" s="8" t="str">
        <x:v>Interview notes</x:v>
      </x:c>
    </x:row>
  </x:sheetData>
  <x:pageMargins left="0.7" right="0.7" top="0.75" bottom="0.75" header="0.3" footer="0.3"/>
</x:worksheet>
</file>